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0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gloscolac-my.sharepoint.com/personal/5293425_student_gloscol_ac_uk/Documents/"/>
    </mc:Choice>
  </mc:AlternateContent>
  <xr:revisionPtr revIDLastSave="0" documentId="8_{CAA346EB-3ACE-4B4C-9215-9170A5CADB6E}" xr6:coauthVersionLast="47" xr6:coauthVersionMax="47" xr10:uidLastSave="{00000000-0000-0000-0000-000000000000}"/>
  <bookViews>
    <workbookView xWindow="-110" yWindow="-110" windowWidth="19420" windowHeight="10300" activeTab="1" xr2:uid="{A60CBAF1-64CC-4E96-9568-8D90D3949A26}"/>
  </bookViews>
  <sheets>
    <sheet name="Sheet3" sheetId="1" r:id="rId1"/>
    <sheet name="Sheet1" sheetId="2" r:id="rId2"/>
    <sheet name="Sheet2" sheetId="3" r:id="rId3"/>
  </sheets>
  <calcPr calcId="191029"/>
  <pivotCaches>
    <pivotCache cacheId="0" r:id="rId4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J24" i="3" l="1"/>
  <c r="K24" i="3" s="1"/>
  <c r="I24" i="3"/>
  <c r="J23" i="3"/>
  <c r="K23" i="3" s="1"/>
  <c r="I23" i="3"/>
  <c r="J22" i="3"/>
  <c r="K22" i="3" s="1"/>
  <c r="I22" i="3"/>
  <c r="J21" i="3"/>
  <c r="K21" i="3" s="1"/>
  <c r="I21" i="3"/>
  <c r="J20" i="3"/>
  <c r="K20" i="3" s="1"/>
  <c r="I20" i="3"/>
  <c r="J19" i="3"/>
  <c r="K19" i="3" s="1"/>
  <c r="I19" i="3"/>
  <c r="F7" i="3" s="1"/>
  <c r="J18" i="3"/>
  <c r="K18" i="3" s="1"/>
  <c r="I18" i="3"/>
  <c r="J17" i="3"/>
  <c r="K17" i="3" s="1"/>
  <c r="I17" i="3"/>
  <c r="J16" i="3"/>
  <c r="K16" i="3" s="1"/>
  <c r="I16" i="3"/>
  <c r="K15" i="3"/>
  <c r="J15" i="3"/>
  <c r="I15" i="3"/>
  <c r="J14" i="3"/>
  <c r="K14" i="3" s="1"/>
  <c r="I14" i="3"/>
  <c r="J13" i="3"/>
  <c r="K13" i="3" s="1"/>
  <c r="I13" i="3"/>
  <c r="J12" i="3"/>
  <c r="K12" i="3" s="1"/>
  <c r="I12" i="3"/>
  <c r="J11" i="3"/>
  <c r="K11" i="3" s="1"/>
  <c r="I11" i="3"/>
  <c r="J7" i="3"/>
  <c r="H7" i="3"/>
  <c r="D7" i="3"/>
  <c r="J41" i="2"/>
  <c r="K41" i="2" s="1"/>
  <c r="I41" i="2"/>
  <c r="J40" i="2"/>
  <c r="K40" i="2" s="1"/>
  <c r="I40" i="2"/>
  <c r="J39" i="2"/>
  <c r="K39" i="2" s="1"/>
  <c r="I39" i="2"/>
  <c r="J38" i="2"/>
  <c r="K38" i="2" s="1"/>
  <c r="I38" i="2"/>
  <c r="J37" i="2"/>
  <c r="K37" i="2" s="1"/>
  <c r="I37" i="2"/>
  <c r="J36" i="2"/>
  <c r="K36" i="2" s="1"/>
  <c r="I36" i="2"/>
  <c r="J35" i="2"/>
  <c r="K35" i="2" s="1"/>
  <c r="I35" i="2"/>
  <c r="J34" i="2"/>
  <c r="K34" i="2" s="1"/>
  <c r="I34" i="2"/>
  <c r="Q33" i="2"/>
  <c r="J33" i="2"/>
  <c r="K33" i="2" s="1"/>
  <c r="I33" i="2"/>
  <c r="Q32" i="2"/>
  <c r="J32" i="2"/>
  <c r="K32" i="2" s="1"/>
  <c r="I32" i="2"/>
  <c r="J31" i="2"/>
  <c r="K31" i="2" s="1"/>
  <c r="I31" i="2"/>
  <c r="J30" i="2"/>
  <c r="K30" i="2" s="1"/>
  <c r="I30" i="2"/>
  <c r="J29" i="2"/>
  <c r="K29" i="2" s="1"/>
  <c r="I29" i="2"/>
  <c r="J28" i="2"/>
  <c r="K28" i="2" s="1"/>
  <c r="I28" i="2"/>
  <c r="I7" i="2"/>
  <c r="E7" i="2"/>
  <c r="C7" i="2"/>
  <c r="G7" i="2" l="1"/>
</calcChain>
</file>

<file path=xl/sharedStrings.xml><?xml version="1.0" encoding="utf-8"?>
<sst xmlns="http://purl.oclc.org/ooxml/spreadsheetml/main" count="80" uniqueCount="48">
  <si>
    <t>Room Status</t>
  </si>
  <si>
    <t>Count of Customer ID</t>
  </si>
  <si>
    <t>Check Out</t>
  </si>
  <si>
    <t>Stay Checked in</t>
  </si>
  <si>
    <t>Hotel Bookings🏨🛋️</t>
  </si>
  <si>
    <t>Total Client</t>
  </si>
  <si>
    <t>Total Invoice</t>
  </si>
  <si>
    <t xml:space="preserve">Total Owing </t>
  </si>
  <si>
    <t>Total Rooms Booked</t>
  </si>
  <si>
    <t>Customer ID</t>
  </si>
  <si>
    <t>Customer Name</t>
  </si>
  <si>
    <t>Total Days Booked</t>
  </si>
  <si>
    <t>Total Days Used</t>
  </si>
  <si>
    <t>Room Cost</t>
  </si>
  <si>
    <t>Paid</t>
  </si>
  <si>
    <t>Owing</t>
  </si>
  <si>
    <t>Days left</t>
  </si>
  <si>
    <t>NR001</t>
  </si>
  <si>
    <t>Kenny Bob</t>
  </si>
  <si>
    <t>NR002</t>
  </si>
  <si>
    <t>Kehinde Abdulsalam</t>
  </si>
  <si>
    <t>NR003</t>
  </si>
  <si>
    <t>John Shally</t>
  </si>
  <si>
    <t>NR004</t>
  </si>
  <si>
    <t>Charles Stallion</t>
  </si>
  <si>
    <t>NR005</t>
  </si>
  <si>
    <t>Angela Fowler</t>
  </si>
  <si>
    <t>Premium Room</t>
  </si>
  <si>
    <t>NR006</t>
  </si>
  <si>
    <t>Taiwo Great</t>
  </si>
  <si>
    <t>Standard Room</t>
  </si>
  <si>
    <t>NR007</t>
  </si>
  <si>
    <t>Matt Main</t>
  </si>
  <si>
    <t>NR008</t>
  </si>
  <si>
    <t>Shahid Toungo</t>
  </si>
  <si>
    <t>NR009</t>
  </si>
  <si>
    <t>Raul Chris</t>
  </si>
  <si>
    <t>NR010</t>
  </si>
  <si>
    <t>Raj Gomez</t>
  </si>
  <si>
    <t>NR011</t>
  </si>
  <si>
    <t>Gatithi TY</t>
  </si>
  <si>
    <t>NR012</t>
  </si>
  <si>
    <t xml:space="preserve">Benson Daniel </t>
  </si>
  <si>
    <t>NR013</t>
  </si>
  <si>
    <t>Mary Mary</t>
  </si>
  <si>
    <t>NR014</t>
  </si>
  <si>
    <t>Cyler Duffin</t>
  </si>
  <si>
    <t>Total Revenue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</si>
</sst>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£-809]#,##0"/>
    <numFmt numFmtId="165" formatCode="[$£]#,##0"/>
  </numFmts>
  <fonts count="7" x14ac:knownFonts="1">
    <font>
      <sz val="11"/>
      <color rgb="FF000000"/>
      <name val="Aptos Narrow"/>
      <family val="2"/>
    </font>
    <font>
      <sz val="36"/>
      <color rgb="FF000000"/>
      <name val="ADLaM Display"/>
    </font>
    <font>
      <b/>
      <sz val="11"/>
      <color rgb="FFFFFFFF"/>
      <name val="Aptos Narrow"/>
      <family val="2"/>
    </font>
    <font>
      <b/>
      <sz val="26"/>
      <color rgb="FF000000"/>
      <name val="Aptos Narrow"/>
      <family val="2"/>
    </font>
    <font>
      <b/>
      <sz val="20"/>
      <color rgb="FF000000"/>
      <name val="Aptos Narrow"/>
      <family val="2"/>
    </font>
    <font>
      <b/>
      <sz val="24"/>
      <color rgb="FF000000"/>
      <name val="Aptos Narrow"/>
      <family val="2"/>
    </font>
    <font>
      <b/>
      <sz val="11"/>
      <color rgb="FF0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DAE9F8"/>
        <bgColor rgb="FFDAE9F8"/>
      </patternFill>
    </fill>
    <fill>
      <patternFill patternType="solid">
        <fgColor rgb="FF782170"/>
        <bgColor rgb="FF782170"/>
      </patternFill>
    </fill>
    <fill>
      <patternFill patternType="solid">
        <fgColor rgb="FF104861"/>
        <bgColor rgb="FF104861"/>
      </patternFill>
    </fill>
    <fill>
      <patternFill patternType="solid">
        <fgColor rgb="FF12501A"/>
        <bgColor rgb="FF12501A"/>
      </patternFill>
    </fill>
    <fill>
      <patternFill patternType="solid">
        <fgColor rgb="FFBE5014"/>
        <bgColor rgb="FFBE5014"/>
      </patternFill>
    </fill>
    <fill>
      <patternFill patternType="solid">
        <fgColor rgb="FFF2CEEF"/>
        <bgColor rgb="FFF2CEEF"/>
      </patternFill>
    </fill>
    <fill>
      <patternFill patternType="solid">
        <fgColor rgb="FF94DCF8"/>
        <bgColor rgb="FF94DCF8"/>
      </patternFill>
    </fill>
    <fill>
      <patternFill patternType="solid">
        <fgColor rgb="FF83E28E"/>
        <bgColor rgb="FF83E28E"/>
      </patternFill>
    </fill>
    <fill>
      <patternFill patternType="solid">
        <fgColor rgb="FFF7C7AC"/>
        <bgColor rgb="FFF7C7AC"/>
      </patternFill>
    </fill>
    <fill>
      <patternFill patternType="solid">
        <fgColor rgb="FF0E2841"/>
        <bgColor rgb="FF0E2841"/>
      </patternFill>
    </fill>
    <fill>
      <patternFill patternType="solid">
        <fgColor rgb="FF4EA72E"/>
        <bgColor rgb="FF4EA72E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</fills>
  <borders count="6">
    <border>
      <start/>
      <end/>
      <top/>
      <bottom/>
      <diagonal/>
    </border>
    <border>
      <start style="thin">
        <color rgb="FF999999"/>
      </start>
      <end/>
      <top style="thin">
        <color rgb="FF999999"/>
      </top>
      <bottom/>
      <diagonal/>
    </border>
    <border>
      <start style="thin">
        <color rgb="FF999999"/>
      </start>
      <end style="thin">
        <color rgb="FF999999"/>
      </end>
      <top style="thin">
        <color rgb="FF999999"/>
      </top>
      <bottom/>
      <diagonal/>
    </border>
    <border>
      <start style="thin">
        <color rgb="FF999999"/>
      </start>
      <end/>
      <top/>
      <bottom style="thin">
        <color rgb="FF999999"/>
      </bottom>
      <diagonal/>
    </border>
    <border>
      <start style="thin">
        <color rgb="FF999999"/>
      </start>
      <end style="thin">
        <color rgb="FF999999"/>
      </end>
      <top/>
      <bottom style="thin">
        <color rgb="FF999999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11" borderId="0" xfId="0" applyFont="1" applyFill="1"/>
    <xf numFmtId="164" fontId="0" fillId="0" borderId="0" xfId="0" applyNumberFormat="1"/>
    <xf numFmtId="0" fontId="0" fillId="12" borderId="0" xfId="0" applyFill="1"/>
    <xf numFmtId="0" fontId="0" fillId="2" borderId="0" xfId="0" applyFill="1"/>
    <xf numFmtId="164" fontId="0" fillId="2" borderId="0" xfId="0" applyNumberFormat="1" applyFill="1"/>
    <xf numFmtId="0" fontId="0" fillId="13" borderId="0" xfId="0" applyFill="1"/>
    <xf numFmtId="0" fontId="0" fillId="14" borderId="0" xfId="0" applyFill="1"/>
    <xf numFmtId="0" fontId="0" fillId="0" borderId="5" xfId="0" applyBorder="1"/>
    <xf numFmtId="165" fontId="0" fillId="0" borderId="5" xfId="0" applyNumberFormat="1" applyBorder="1"/>
    <xf numFmtId="0" fontId="0" fillId="15" borderId="0" xfId="0" applyFill="1"/>
    <xf numFmtId="0" fontId="1" fillId="2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64" fontId="4" fillId="8" borderId="0" xfId="0" applyNumberFormat="1" applyFont="1" applyFill="1" applyAlignment="1">
      <alignment horizontal="center"/>
    </xf>
    <xf numFmtId="164" fontId="4" fillId="9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0" fillId="0" borderId="0" xfId="0" applyFont="1" applyFill="1"/>
    <xf numFmtId="0" fontId="6" fillId="0" borderId="0" xfId="0" applyFont="1" applyFill="1" applyAlignment="1">
      <alignment horizontal="center" vertical="center"/>
    </xf>
    <xf numFmtId="164" fontId="0" fillId="0" borderId="0" xfId="0" applyNumberFormat="1" applyFont="1" applyFill="1"/>
    <xf numFmtId="0" fontId="3" fillId="0" borderId="0" xfId="0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purl.oclc.org/ooxml/officeDocument/relationships/oleObject" Target="NULL" TargetMode="External"/></Relationships>
</file>

<file path=xl/charts/_rels/chart2.xml.rels><?xml version="1.0" encoding="UTF-8" standalone="yes"?>
<Relationships xmlns="http://schemas.openxmlformats.org/package/2006/relationships"><Relationship Id="rId3" Type="http://purl.oclc.org/ooxml/officeDocument/relationships/oleObject" Target="NULL" TargetMode="Externa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%">
                <a:solidFill>
                  <a:srgbClr val="595959"/>
                </a:solidFill>
                <a:latin typeface="Aptos Narrow"/>
              </a:defRPr>
            </a:pPr>
            <a:r>
              <a:rPr lang="en-GB" sz="1400" b="0" i="0" u="none" strike="noStrike" kern="1200" cap="none" spc="0" baseline="0%">
                <a:solidFill>
                  <a:srgbClr val="595959"/>
                </a:solidFill>
                <a:uFillTx/>
                <a:latin typeface="Aptos Narrow"/>
              </a:rPr>
              <a:t>Count of Customer ID by Room Status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156082"/>
            </a:solidFill>
            <a:ln>
              <a:noFill/>
            </a:ln>
          </c:spPr>
          <c:invertIfNegative val="0"/>
          <c:cat>
            <c:strLit>
              <c:ptCount val="2"/>
              <c:pt idx="0">
                <c:v>Check Out</c:v>
              </c:pt>
              <c:pt idx="1">
                <c:v>Stay Checked in</c:v>
              </c:pt>
            </c:strLit>
          </c:cat>
          <c:val>
            <c:numLit>
              <c:formatCode>General</c:formatCode>
              <c:ptCount val="2"/>
              <c:pt idx="0">
                <c:v>4</c:v>
              </c:pt>
              <c:pt idx="1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293C-47D2-8CB3-B459B9A5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415679"/>
        <c:axId val="1456418079"/>
      </c:barChart>
      <c:valAx>
        <c:axId val="1456418079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%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456415679"/>
        <c:crosses val="autoZero"/>
        <c:crossBetween val="between"/>
      </c:valAx>
      <c:catAx>
        <c:axId val="14564156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%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1456418079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%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%">
          <a:solidFill>
            <a:srgbClr val="000000"/>
          </a:solidFill>
          <a:latin typeface="Aptos Narrow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%">
                <a:solidFill>
                  <a:schemeClr val="dk1">
                    <a:lumMod val="65%"/>
                    <a:lumOff val="35%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GB"/>
              <a:t>Room Status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%">
              <a:solidFill>
                <a:schemeClr val="dk1">
                  <a:lumMod val="65%"/>
                  <a:lumOff val="35%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0B050"/>
            </a:solidFill>
            <a:ln>
              <a:noFill/>
            </a:ln>
            <a:effectLst>
              <a:outerShdw blurRad="76200" dir="18900000" sy="23%" kx="-1200000" algn="bl" rotWithShape="0">
                <a:prstClr val="black">
                  <a:alpha val="20%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76200" dir="18900000" sy="23%" kx="-1200000" algn="bl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F0-47E3-A540-0BEAA1E88C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%"/>
                          <a:lumOff val="50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Check Out</c:v>
              </c:pt>
              <c:pt idx="1">
                <c:v>Stay Checked in</c:v>
              </c:pt>
            </c:strLit>
          </c:cat>
          <c:val>
            <c:numLit>
              <c:formatCode>General</c:formatCode>
              <c:ptCount val="2"/>
              <c:pt idx="0">
                <c:v>4</c:v>
              </c:pt>
              <c:pt idx="1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FFF0-47E3-A540-0BEAA1E88C3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56825759"/>
        <c:axId val="1456825279"/>
      </c:barChart>
      <c:valAx>
        <c:axId val="1456825279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456825759"/>
        <c:crosses val="autoZero"/>
        <c:crossBetween val="between"/>
      </c:valAx>
      <c:catAx>
        <c:axId val="14568257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dk1">
                    <a:lumMod val="65%"/>
                    <a:lumOff val="35%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825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ernalData r:id="rId3">
    <c:autoUpdate val="0"/>
  </c:externalData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%">
                <a:solidFill>
                  <a:schemeClr val="dk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Room</a:t>
            </a:r>
            <a:r>
              <a:rPr lang="en-GB" baseline="0%"/>
              <a:t> Type Usage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%">
              <a:solidFill>
                <a:schemeClr val="dk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%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39-4010-990E-6C4010034FE2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%"/>
                  <a:lumOff val="40%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339-4010-990E-6C4010034F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Sheet1!$O$32:$O$33</c:f>
              <c:strCache>
                <c:ptCount val="2"/>
                <c:pt idx="0">
                  <c:v>Premium Room</c:v>
                </c:pt>
                <c:pt idx="1">
                  <c:v>Standard Room</c:v>
                </c:pt>
              </c:strCache>
            </c:strRef>
          </c:cat>
          <c:val>
            <c:numRef>
              <c:f>Sheet1!$P$32:$P$33</c:f>
              <c:numCache>
                <c:formatCode>[$£]#,##0</c:formatCode>
                <c:ptCount val="2"/>
                <c:pt idx="0">
                  <c:v>75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9-4010-990E-6C4010034FE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%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dk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Summary</a:t>
            </a:r>
          </a:p>
        </c:rich>
      </c:tx>
      <c:layout>
        <c:manualLayout>
          <c:xMode val="edge"/>
          <c:yMode val="edge"/>
          <c:x val="0.30870129752335396"/>
          <c:y val="6.4145440586818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Sheet1!$H$27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val>
            <c:numRef>
              <c:f>Sheet1!$H$28:$H$41</c:f>
              <c:numCache>
                <c:formatCode>[$£-809]#,##0</c:formatCode>
                <c:ptCount val="14"/>
                <c:pt idx="0">
                  <c:v>500</c:v>
                </c:pt>
                <c:pt idx="1">
                  <c:v>150</c:v>
                </c:pt>
                <c:pt idx="2">
                  <c:v>125</c:v>
                </c:pt>
                <c:pt idx="3">
                  <c:v>85</c:v>
                </c:pt>
                <c:pt idx="4">
                  <c:v>100</c:v>
                </c:pt>
                <c:pt idx="5">
                  <c:v>300</c:v>
                </c:pt>
                <c:pt idx="6">
                  <c:v>150</c:v>
                </c:pt>
                <c:pt idx="7">
                  <c:v>75</c:v>
                </c:pt>
                <c:pt idx="8">
                  <c:v>123</c:v>
                </c:pt>
                <c:pt idx="9">
                  <c:v>120</c:v>
                </c:pt>
                <c:pt idx="10">
                  <c:v>65</c:v>
                </c:pt>
                <c:pt idx="11">
                  <c:v>34</c:v>
                </c:pt>
                <c:pt idx="12">
                  <c:v>234</c:v>
                </c:pt>
                <c:pt idx="13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9-46C0-AEBE-B5236D2B0965}"/>
            </c:ext>
          </c:extLst>
        </c:ser>
        <c:ser>
          <c:idx val="1"/>
          <c:order val="1"/>
          <c:tx>
            <c:strRef>
              <c:f>Sheet1!$I$27</c:f>
              <c:strCache>
                <c:ptCount val="1"/>
                <c:pt idx="0">
                  <c:v>Owing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val>
            <c:numRef>
              <c:f>Sheet1!$I$28:$I$41</c:f>
              <c:numCache>
                <c:formatCode>[$£-809]#,##0</c:formatCode>
                <c:ptCount val="14"/>
                <c:pt idx="0">
                  <c:v>400</c:v>
                </c:pt>
                <c:pt idx="1">
                  <c:v>75</c:v>
                </c:pt>
                <c:pt idx="2">
                  <c:v>225</c:v>
                </c:pt>
                <c:pt idx="3">
                  <c:v>515</c:v>
                </c:pt>
                <c:pt idx="4">
                  <c:v>50</c:v>
                </c:pt>
                <c:pt idx="5">
                  <c:v>200</c:v>
                </c:pt>
                <c:pt idx="6">
                  <c:v>150</c:v>
                </c:pt>
                <c:pt idx="7">
                  <c:v>75</c:v>
                </c:pt>
                <c:pt idx="8">
                  <c:v>327</c:v>
                </c:pt>
                <c:pt idx="9">
                  <c:v>555</c:v>
                </c:pt>
                <c:pt idx="10">
                  <c:v>285</c:v>
                </c:pt>
                <c:pt idx="11">
                  <c:v>341</c:v>
                </c:pt>
                <c:pt idx="12">
                  <c:v>916</c:v>
                </c:pt>
                <c:pt idx="13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E9-46C0-AEBE-B5236D2B0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03644687"/>
        <c:axId val="1403643727"/>
      </c:barChart>
      <c:catAx>
        <c:axId val="140364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43727"/>
        <c:crosses val="autoZero"/>
        <c:auto val="1"/>
        <c:lblAlgn val="ctr"/>
        <c:lblOffset val="100"/>
        <c:noMultiLvlLbl val="0"/>
      </c:catAx>
      <c:valAx>
        <c:axId val="1403643727"/>
        <c:scaling>
          <c:orientation val="minMax"/>
        </c:scaling>
        <c:delete val="0"/>
        <c:axPos val="l"/>
        <c:numFmt formatCode="[$£-8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4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4">
  <cs:axisTitle>
    <cs:lnRef idx="0"/>
    <cs:fillRef idx="0"/>
    <cs:effectRef idx="0"/>
    <cs:fontRef idx="minor">
      <a:schemeClr val="dk1">
        <a:lumMod val="65%"/>
        <a:lumOff val="35%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%"/>
        <a:lumOff val="35%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lt1"/>
          </a:gs>
          <a:gs pos="68%">
            <a:schemeClr val="lt1">
              <a:lumMod val="85%"/>
            </a:schemeClr>
          </a:gs>
          <a:gs pos="100%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%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%"/>
          <a:lumOff val="35%"/>
          <a:alpha val="75%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%">
            <a:schemeClr val="phClr"/>
          </a:gs>
          <a:gs pos="100%">
            <a:schemeClr val="phClr">
              <a:lumMod val="84%"/>
            </a:schemeClr>
          </a:gs>
        </a:gsLst>
        <a:lin ang="5400000" scaled="1"/>
      </a:gradFill>
      <a:effectLst>
        <a:outerShdw blurRad="76200" dir="18900000" sy="23%" kx="-1200000" algn="bl" rotWithShape="0">
          <a:prstClr val="black">
            <a:alpha val="20%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%">
            <a:schemeClr val="phClr"/>
          </a:gs>
          <a:gs pos="100%">
            <a:schemeClr val="phClr">
              <a:lumMod val="84%"/>
            </a:schemeClr>
          </a:gs>
        </a:gsLst>
        <a:lin ang="5400000" scaled="1"/>
      </a:gradFill>
      <a:effectLst>
        <a:outerShdw blurRad="76200" dir="18900000" sy="23%" kx="-1200000" algn="bl" rotWithShape="0">
          <a:prstClr val="black">
            <a:alpha val="20%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%">
              <a:schemeClr val="phClr"/>
            </a:gs>
            <a:gs pos="100%">
              <a:schemeClr val="phClr">
                <a:lumMod val="84%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%">
            <a:schemeClr val="phClr"/>
          </a:gs>
          <a:gs pos="100%">
            <a:schemeClr val="phClr">
              <a:lumMod val="84%"/>
            </a:schemeClr>
          </a:gs>
        </a:gsLst>
        <a:lin ang="5400000" scaled="1"/>
      </a:gradFill>
      <a:effectLst>
        <a:outerShdw blurRad="76200" dir="18900000" sy="23%" kx="-1200000" algn="bl" rotWithShape="0">
          <a:prstClr val="black">
            <a:alpha val="20%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%"/>
        <a:lumOff val="35%"/>
      </a:schemeClr>
    </cs:fontRef>
    <cs:spPr>
      <a:ln w="9525">
        <a:solidFill>
          <a:schemeClr val="dk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%"/>
          <a:lumOff val="65%"/>
        </a:schemeClr>
      </a:solidFill>
      <a:ln w="9525">
        <a:solidFill>
          <a:schemeClr val="dk1">
            <a:lumMod val="50%"/>
            <a:lumOff val="50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</a:ln>
    </cs:spPr>
  </cs:leaderLine>
  <cs:legend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%"/>
        <a:lumOff val="35%"/>
      </a:schemeClr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%"/>
            <a:lumOff val="50%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%"/>
        <a:lumOff val="35%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%"/>
        </a:schemeClr>
      </a:solidFill>
      <a:ln w="9525">
        <a:solidFill>
          <a:schemeClr val="dk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purl.oclc.org/ooxml/drawingml/main" id="261">
  <cs:axisTitle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%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%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>
          <a:alpha val="75%"/>
        </a:schemeClr>
      </a:solidFill>
      <a:ln w="9525"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%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%" sy="102%" algn="ctr" rotWithShape="0">
          <a:prstClr val="black">
            <a:alpha val="20%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%"/>
        <a:lumOff val="35%"/>
      </a:schemeClr>
    </cs:fontRef>
    <cs:spPr>
      <a:noFill/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dk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>
          <a:alpha val="78%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%"/>
        <a:lumOff val="35%"/>
      </a:schemeClr>
    </cs:fontRef>
    <cs:defRPr sz="1800" b="1" kern="1200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purl.oclc.org/ooxml/drawingml/main" id="340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12700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purl.oclc.org/ooxml/officeDocument/relationships/chart" Target="../charts/chart4.xml"/><Relationship Id="rId2" Type="http://purl.oclc.org/ooxml/officeDocument/relationships/chart" Target="../charts/chart3.xml"/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oneCellAnchor>
    <xdr:from>
      <xdr:col>0</xdr:col>
      <xdr:colOff>596896</xdr:colOff>
      <xdr:row>6</xdr:row>
      <xdr:rowOff>127002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06933-DC68-66A2-3EC3-85BAFDACD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oneCellAnchor>
</xdr:wsDr>
</file>

<file path=xl/drawings/drawing2.xml><?xml version="1.0" encoding="utf-8"?>
<xdr:wsDr xmlns:xdr="http://purl.oclc.org/ooxml/drawingml/spreadsheetDrawing" xmlns:a="http://purl.oclc.org/ooxml/drawingml/main">
  <xdr:oneCellAnchor>
    <xdr:from>
      <xdr:col>1</xdr:col>
      <xdr:colOff>97692</xdr:colOff>
      <xdr:row>11</xdr:row>
      <xdr:rowOff>70556</xdr:rowOff>
    </xdr:from>
    <xdr:ext cx="3582051" cy="246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5988B-63B1-1752-4274-3FFB68FD0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oneCellAnchor>
  <xdr:twoCellAnchor>
    <xdr:from>
      <xdr:col>3</xdr:col>
      <xdr:colOff>555139</xdr:colOff>
      <xdr:row>11</xdr:row>
      <xdr:rowOff>140336</xdr:rowOff>
    </xdr:from>
    <xdr:to>
      <xdr:col>7</xdr:col>
      <xdr:colOff>700127</xdr:colOff>
      <xdr:row>25</xdr:row>
      <xdr:rowOff>51950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FEE5A7-F20A-B3AA-FFD6-D6FCE0207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6</xdr:col>
      <xdr:colOff>1025770</xdr:colOff>
      <xdr:row>10</xdr:row>
      <xdr:rowOff>65127</xdr:rowOff>
    </xdr:from>
    <xdr:to>
      <xdr:col>11</xdr:col>
      <xdr:colOff>374488</xdr:colOff>
      <xdr:row>25</xdr:row>
      <xdr:rowOff>37216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81E53E-AE22-F883-F5EC-80A21D0B3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1CE081A4-9B41-4936-B88A-7F5360A13519}">
  <cacheSource type="worksheet">
    <worksheetSource ref="C27:K41" sheet="Sheet1"/>
  </cacheSource>
  <cacheFields count="9">
    <cacheField name="Room Status" numFmtId="0">
      <sharedItems containsSemiMixedTypes="0" containsNonDate="0" containsString="0"/>
    </cacheField>
    <cacheField name="Customer ID" numFmtId="0">
      <sharedItems containsSemiMixedTypes="0" containsNonDate="0" containsString="0"/>
    </cacheField>
    <cacheField name="Customer Name" numFmtId="0">
      <sharedItems containsSemiMixedTypes="0" containsNonDate="0" containsString="0"/>
    </cacheField>
    <cacheField name="Total Days Booked" numFmtId="0">
      <sharedItems containsSemiMixedTypes="0" containsNonDate="0" containsString="0"/>
    </cacheField>
    <cacheField name="Total Days Used" numFmtId="0">
      <sharedItems containsSemiMixedTypes="0" containsNonDate="0" containsString="0"/>
    </cacheField>
    <cacheField name="Room Cost" numFmtId="0">
      <sharedItems containsSemiMixedTypes="0" containsNonDate="0" containsString="0"/>
    </cacheField>
    <cacheField name="Paid" numFmtId="0">
      <sharedItems containsSemiMixedTypes="0" containsNonDate="0" containsString="0"/>
    </cacheField>
    <cacheField name="Owing" numFmtId="0">
      <sharedItems containsSemiMixedTypes="0" containsNonDate="0" containsString="0"/>
    </cacheField>
    <cacheField name="Days left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F91DBD02-EFE8-40DB-B8F4-A367A3B6262E}" name="PivotTable2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>
  <location ref="A3:B5" firstHeaderRow="1" firstDataRow="1" firstDataCol="1"/>
  <pivotFields count="9">
    <pivotField axis="axisRow"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0"/>
  </rowFields>
  <dataFields count="1">
    <dataField name="Count of Customer ID" fld="1" subtotal="count" baseField="1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8951-B4BA-40DE-9533-0589FBBC668D}">
  <dimension ref="A3:B5"/>
  <sheetViews>
    <sheetView zoomScale="75" workbookViewId="0">
      <selection activeCell="A4" sqref="A4"/>
    </sheetView>
  </sheetViews>
  <sheetFormatPr defaultRowHeight="14.5" x14ac:dyDescent="0.35"/>
  <cols>
    <col min="1" max="1" width="13.7265625" bestFit="1" customWidth="1"/>
    <col min="2" max="2" width="18.26953125" bestFit="1" customWidth="1"/>
    <col min="3" max="3" width="8.7265625" customWidth="1"/>
  </cols>
  <sheetData>
    <row r="3" spans="1:2" x14ac:dyDescent="0.35">
      <c r="A3" s="1" t="s">
        <v>0</v>
      </c>
      <c r="B3" s="2" t="s">
        <v>1</v>
      </c>
    </row>
    <row r="4" spans="1:2" x14ac:dyDescent="0.35">
      <c r="A4" s="1" t="s">
        <v>2</v>
      </c>
      <c r="B4" s="2">
        <v>4</v>
      </c>
    </row>
    <row r="5" spans="1:2" x14ac:dyDescent="0.35">
      <c r="A5" s="3" t="s">
        <v>3</v>
      </c>
      <c r="B5" s="4">
        <v>10</v>
      </c>
    </row>
  </sheetData>
  <pageMargins left="0.70000000000000007" right="0.70000000000000007" top="0.75" bottom="0.75" header="0.30000000000000004" footer="0.30000000000000004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EFC5-703A-4D88-A260-F126912EF937}">
  <dimension ref="C1:Q51"/>
  <sheetViews>
    <sheetView showGridLines="0" tabSelected="1" zoomScale="41" workbookViewId="0">
      <selection activeCell="N47" sqref="N47"/>
    </sheetView>
  </sheetViews>
  <sheetFormatPr defaultRowHeight="14.5" x14ac:dyDescent="0.35"/>
  <cols>
    <col min="1" max="2" width="8.7265625" customWidth="1"/>
    <col min="3" max="3" width="18.453125" customWidth="1"/>
    <col min="4" max="4" width="20.453125" bestFit="1" customWidth="1"/>
    <col min="5" max="5" width="18.26953125" customWidth="1"/>
    <col min="6" max="6" width="20.7265625" bestFit="1" customWidth="1"/>
    <col min="7" max="7" width="20" customWidth="1"/>
    <col min="8" max="8" width="14.1796875" customWidth="1"/>
    <col min="9" max="9" width="17.90625" bestFit="1" customWidth="1"/>
    <col min="10" max="10" width="11.81640625" bestFit="1" customWidth="1"/>
    <col min="11" max="11" width="16.90625" bestFit="1" customWidth="1"/>
    <col min="12" max="14" width="8.7265625" customWidth="1"/>
    <col min="15" max="15" width="13.7265625" bestFit="1" customWidth="1"/>
    <col min="16" max="16" width="8.7265625" customWidth="1"/>
  </cols>
  <sheetData>
    <row r="1" spans="3:9" x14ac:dyDescent="0.35">
      <c r="D1" s="19" t="s">
        <v>4</v>
      </c>
      <c r="E1" s="19"/>
      <c r="F1" s="19"/>
      <c r="G1" s="19"/>
      <c r="H1" s="19"/>
      <c r="I1" s="19"/>
    </row>
    <row r="2" spans="3:9" x14ac:dyDescent="0.35">
      <c r="D2" s="19"/>
      <c r="E2" s="19"/>
      <c r="F2" s="19"/>
      <c r="G2" s="19"/>
      <c r="H2" s="19"/>
      <c r="I2" s="19"/>
    </row>
    <row r="3" spans="3:9" x14ac:dyDescent="0.35">
      <c r="D3" s="19"/>
      <c r="E3" s="19"/>
      <c r="F3" s="19"/>
      <c r="G3" s="19"/>
      <c r="H3" s="19"/>
      <c r="I3" s="19"/>
    </row>
    <row r="6" spans="3:9" x14ac:dyDescent="0.35">
      <c r="C6" s="5" t="s">
        <v>5</v>
      </c>
      <c r="E6" s="6" t="s">
        <v>47</v>
      </c>
      <c r="G6" s="7" t="s">
        <v>7</v>
      </c>
      <c r="I6" s="8" t="s">
        <v>8</v>
      </c>
    </row>
    <row r="7" spans="3:9" x14ac:dyDescent="0.35">
      <c r="C7" s="20">
        <f>COUNTA(C28:C1274)</f>
        <v>14</v>
      </c>
      <c r="E7" s="21">
        <f>SUM(H28:H819)</f>
        <v>2159</v>
      </c>
      <c r="G7" s="22">
        <f>SUM(I28:I902)</f>
        <v>4366</v>
      </c>
      <c r="I7" s="23">
        <f>SUM(E28:E1010)</f>
        <v>109</v>
      </c>
    </row>
    <row r="8" spans="3:9" x14ac:dyDescent="0.35">
      <c r="C8" s="20"/>
      <c r="E8" s="21"/>
      <c r="G8" s="22"/>
      <c r="I8" s="23"/>
    </row>
    <row r="9" spans="3:9" x14ac:dyDescent="0.35">
      <c r="C9" s="20"/>
      <c r="E9" s="21"/>
      <c r="G9" s="22"/>
      <c r="I9" s="23"/>
    </row>
    <row r="27" spans="3:17" x14ac:dyDescent="0.35">
      <c r="C27" s="9" t="s">
        <v>9</v>
      </c>
      <c r="D27" s="9" t="s">
        <v>10</v>
      </c>
      <c r="E27" s="9" t="s">
        <v>11</v>
      </c>
      <c r="F27" s="9" t="s">
        <v>12</v>
      </c>
      <c r="G27" s="9" t="s">
        <v>13</v>
      </c>
      <c r="H27" s="9" t="s">
        <v>14</v>
      </c>
      <c r="I27" s="9" t="s">
        <v>15</v>
      </c>
      <c r="J27" s="9" t="s">
        <v>16</v>
      </c>
      <c r="K27" s="9" t="s">
        <v>0</v>
      </c>
    </row>
    <row r="28" spans="3:17" x14ac:dyDescent="0.35">
      <c r="C28" t="s">
        <v>17</v>
      </c>
      <c r="D28" t="s">
        <v>18</v>
      </c>
      <c r="E28">
        <v>12</v>
      </c>
      <c r="F28">
        <v>7</v>
      </c>
      <c r="G28" s="10">
        <v>75</v>
      </c>
      <c r="H28" s="10">
        <v>500</v>
      </c>
      <c r="I28" s="10">
        <f t="shared" ref="I28:I41" si="0">(E28*G28)-H28</f>
        <v>400</v>
      </c>
      <c r="J28">
        <f t="shared" ref="J28:J41" si="1">E28-F28</f>
        <v>5</v>
      </c>
      <c r="K28" s="11" t="str">
        <f t="shared" ref="K28:K41" si="2">IF(J28&gt;0,"Stay Checked in","Check Out")</f>
        <v>Stay Checked in</v>
      </c>
    </row>
    <row r="29" spans="3:17" x14ac:dyDescent="0.35">
      <c r="C29" s="12" t="s">
        <v>19</v>
      </c>
      <c r="D29" s="12" t="s">
        <v>20</v>
      </c>
      <c r="E29" s="12">
        <v>3</v>
      </c>
      <c r="F29" s="12">
        <v>4</v>
      </c>
      <c r="G29" s="13">
        <v>75</v>
      </c>
      <c r="H29" s="13">
        <v>150</v>
      </c>
      <c r="I29" s="13">
        <f t="shared" si="0"/>
        <v>75</v>
      </c>
      <c r="J29" s="12">
        <f t="shared" si="1"/>
        <v>-1</v>
      </c>
      <c r="K29" s="14" t="str">
        <f t="shared" si="2"/>
        <v>Check Out</v>
      </c>
    </row>
    <row r="30" spans="3:17" x14ac:dyDescent="0.35">
      <c r="C30" t="s">
        <v>21</v>
      </c>
      <c r="D30" t="s">
        <v>22</v>
      </c>
      <c r="E30">
        <v>7</v>
      </c>
      <c r="F30">
        <v>5</v>
      </c>
      <c r="G30" s="10">
        <v>50</v>
      </c>
      <c r="H30" s="10">
        <v>125</v>
      </c>
      <c r="I30" s="10">
        <f t="shared" si="0"/>
        <v>225</v>
      </c>
      <c r="J30">
        <f t="shared" si="1"/>
        <v>2</v>
      </c>
      <c r="K30" s="11" t="str">
        <f t="shared" si="2"/>
        <v>Stay Checked in</v>
      </c>
    </row>
    <row r="31" spans="3:17" x14ac:dyDescent="0.35">
      <c r="C31" s="12" t="s">
        <v>23</v>
      </c>
      <c r="D31" s="12" t="s">
        <v>24</v>
      </c>
      <c r="E31" s="12">
        <v>8</v>
      </c>
      <c r="F31" s="12">
        <v>3</v>
      </c>
      <c r="G31" s="13">
        <v>75</v>
      </c>
      <c r="H31" s="13">
        <v>85</v>
      </c>
      <c r="I31" s="13">
        <f t="shared" si="0"/>
        <v>515</v>
      </c>
      <c r="J31" s="12">
        <f t="shared" si="1"/>
        <v>5</v>
      </c>
      <c r="K31" s="15" t="str">
        <f t="shared" si="2"/>
        <v>Stay Checked in</v>
      </c>
    </row>
    <row r="32" spans="3:17" x14ac:dyDescent="0.35">
      <c r="C32" t="s">
        <v>25</v>
      </c>
      <c r="D32" t="s">
        <v>26</v>
      </c>
      <c r="E32">
        <v>3</v>
      </c>
      <c r="F32">
        <v>5</v>
      </c>
      <c r="G32" s="10">
        <v>50</v>
      </c>
      <c r="H32" s="10">
        <v>100</v>
      </c>
      <c r="I32" s="10">
        <f t="shared" si="0"/>
        <v>50</v>
      </c>
      <c r="J32">
        <f t="shared" si="1"/>
        <v>-2</v>
      </c>
      <c r="K32" s="14" t="str">
        <f t="shared" si="2"/>
        <v>Check Out</v>
      </c>
      <c r="O32" s="16" t="s">
        <v>27</v>
      </c>
      <c r="P32" s="17">
        <v>75</v>
      </c>
      <c r="Q32">
        <f>COUNTIF(G28:G41,75)</f>
        <v>6</v>
      </c>
    </row>
    <row r="33" spans="3:17" x14ac:dyDescent="0.35">
      <c r="C33" s="12" t="s">
        <v>28</v>
      </c>
      <c r="D33" s="12" t="s">
        <v>29</v>
      </c>
      <c r="E33" s="12">
        <v>10</v>
      </c>
      <c r="F33" s="12">
        <v>7</v>
      </c>
      <c r="G33" s="13">
        <v>50</v>
      </c>
      <c r="H33" s="13">
        <v>300</v>
      </c>
      <c r="I33" s="13">
        <f t="shared" si="0"/>
        <v>200</v>
      </c>
      <c r="J33" s="12">
        <f t="shared" si="1"/>
        <v>3</v>
      </c>
      <c r="K33" s="15" t="str">
        <f t="shared" si="2"/>
        <v>Stay Checked in</v>
      </c>
      <c r="O33" s="16" t="s">
        <v>30</v>
      </c>
      <c r="P33" s="17">
        <v>50</v>
      </c>
      <c r="Q33">
        <f>COUNTIF(G28:G41,50)</f>
        <v>8</v>
      </c>
    </row>
    <row r="34" spans="3:17" x14ac:dyDescent="0.35">
      <c r="C34" t="s">
        <v>31</v>
      </c>
      <c r="D34" t="s">
        <v>32</v>
      </c>
      <c r="E34">
        <v>6</v>
      </c>
      <c r="F34">
        <v>4</v>
      </c>
      <c r="G34" s="10">
        <v>50</v>
      </c>
      <c r="H34" s="10">
        <v>150</v>
      </c>
      <c r="I34" s="10">
        <f t="shared" si="0"/>
        <v>150</v>
      </c>
      <c r="J34">
        <f t="shared" si="1"/>
        <v>2</v>
      </c>
      <c r="K34" s="11" t="str">
        <f t="shared" si="2"/>
        <v>Stay Checked in</v>
      </c>
    </row>
    <row r="35" spans="3:17" x14ac:dyDescent="0.35">
      <c r="C35" s="12" t="s">
        <v>33</v>
      </c>
      <c r="D35" s="12" t="s">
        <v>34</v>
      </c>
      <c r="E35" s="12">
        <v>3</v>
      </c>
      <c r="F35" s="12">
        <v>9</v>
      </c>
      <c r="G35" s="13">
        <v>50</v>
      </c>
      <c r="H35" s="13">
        <v>75</v>
      </c>
      <c r="I35" s="13">
        <f t="shared" si="0"/>
        <v>75</v>
      </c>
      <c r="J35" s="12">
        <f t="shared" si="1"/>
        <v>-6</v>
      </c>
      <c r="K35" s="14" t="str">
        <f t="shared" si="2"/>
        <v>Check Out</v>
      </c>
    </row>
    <row r="36" spans="3:17" x14ac:dyDescent="0.35">
      <c r="C36" t="s">
        <v>35</v>
      </c>
      <c r="D36" t="s">
        <v>36</v>
      </c>
      <c r="E36">
        <v>6</v>
      </c>
      <c r="F36">
        <v>3</v>
      </c>
      <c r="G36" s="10">
        <v>75</v>
      </c>
      <c r="H36" s="10">
        <v>123</v>
      </c>
      <c r="I36" s="10">
        <f t="shared" si="0"/>
        <v>327</v>
      </c>
      <c r="J36">
        <f t="shared" si="1"/>
        <v>3</v>
      </c>
      <c r="K36" s="11" t="str">
        <f t="shared" si="2"/>
        <v>Stay Checked in</v>
      </c>
    </row>
    <row r="37" spans="3:17" x14ac:dyDescent="0.35">
      <c r="C37" s="12" t="s">
        <v>37</v>
      </c>
      <c r="D37" s="12" t="s">
        <v>38</v>
      </c>
      <c r="E37" s="12">
        <v>9</v>
      </c>
      <c r="F37" s="12">
        <v>8</v>
      </c>
      <c r="G37" s="13">
        <v>75</v>
      </c>
      <c r="H37" s="13">
        <v>120</v>
      </c>
      <c r="I37" s="13">
        <f t="shared" si="0"/>
        <v>555</v>
      </c>
      <c r="J37" s="12">
        <f t="shared" si="1"/>
        <v>1</v>
      </c>
      <c r="K37" s="15" t="str">
        <f t="shared" si="2"/>
        <v>Stay Checked in</v>
      </c>
    </row>
    <row r="38" spans="3:17" x14ac:dyDescent="0.35">
      <c r="C38" t="s">
        <v>39</v>
      </c>
      <c r="D38" t="s">
        <v>40</v>
      </c>
      <c r="E38">
        <v>7</v>
      </c>
      <c r="F38">
        <v>5</v>
      </c>
      <c r="G38" s="10">
        <v>50</v>
      </c>
      <c r="H38" s="10">
        <v>65</v>
      </c>
      <c r="I38" s="10">
        <f t="shared" si="0"/>
        <v>285</v>
      </c>
      <c r="J38">
        <f t="shared" si="1"/>
        <v>2</v>
      </c>
      <c r="K38" s="11" t="str">
        <f t="shared" si="2"/>
        <v>Stay Checked in</v>
      </c>
    </row>
    <row r="39" spans="3:17" x14ac:dyDescent="0.35">
      <c r="C39" s="12" t="s">
        <v>41</v>
      </c>
      <c r="D39" s="12" t="s">
        <v>42</v>
      </c>
      <c r="E39" s="12">
        <v>5</v>
      </c>
      <c r="F39" s="12">
        <v>3</v>
      </c>
      <c r="G39" s="13">
        <v>75</v>
      </c>
      <c r="H39" s="13">
        <v>34</v>
      </c>
      <c r="I39" s="13">
        <f t="shared" si="0"/>
        <v>341</v>
      </c>
      <c r="J39" s="12">
        <f t="shared" si="1"/>
        <v>2</v>
      </c>
      <c r="K39" s="15" t="str">
        <f t="shared" si="2"/>
        <v>Stay Checked in</v>
      </c>
    </row>
    <row r="40" spans="3:17" x14ac:dyDescent="0.35">
      <c r="C40" t="s">
        <v>43</v>
      </c>
      <c r="D40" t="s">
        <v>44</v>
      </c>
      <c r="E40">
        <v>23</v>
      </c>
      <c r="F40">
        <v>19</v>
      </c>
      <c r="G40" s="10">
        <v>50</v>
      </c>
      <c r="H40" s="10">
        <v>234</v>
      </c>
      <c r="I40" s="10">
        <f t="shared" si="0"/>
        <v>916</v>
      </c>
      <c r="J40">
        <f t="shared" si="1"/>
        <v>4</v>
      </c>
      <c r="K40" s="11" t="str">
        <f t="shared" si="2"/>
        <v>Stay Checked in</v>
      </c>
    </row>
    <row r="41" spans="3:17" x14ac:dyDescent="0.35">
      <c r="C41" s="12" t="s">
        <v>45</v>
      </c>
      <c r="D41" s="12" t="s">
        <v>46</v>
      </c>
      <c r="E41" s="12">
        <v>7</v>
      </c>
      <c r="F41" s="12">
        <v>7</v>
      </c>
      <c r="G41" s="13">
        <v>50</v>
      </c>
      <c r="H41" s="13">
        <v>98</v>
      </c>
      <c r="I41" s="10">
        <f t="shared" si="0"/>
        <v>252</v>
      </c>
      <c r="J41" s="12">
        <f t="shared" si="1"/>
        <v>0</v>
      </c>
      <c r="K41" s="18" t="str">
        <f t="shared" si="2"/>
        <v>Check Out</v>
      </c>
    </row>
    <row r="50" spans="3:4" x14ac:dyDescent="0.35">
      <c r="C50" s="16"/>
      <c r="D50" s="17"/>
    </row>
    <row r="51" spans="3:4" x14ac:dyDescent="0.35">
      <c r="C51" s="16"/>
      <c r="D51" s="17"/>
    </row>
  </sheetData>
  <mergeCells count="5">
    <mergeCell ref="D1:I3"/>
    <mergeCell ref="C7:C9"/>
    <mergeCell ref="E7:E9"/>
    <mergeCell ref="G7:G9"/>
    <mergeCell ref="I7:I9"/>
  </mergeCells>
  <conditionalFormatting sqref="I27:I4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{364C8381-8AFC-497C-B591-CF731BDB0383}</x14:id>
        </ext>
      </extLst>
    </cfRule>
  </conditionalFormatting>
  <dataValidations count="2">
    <dataValidation type="list" allowBlank="1" showInputMessage="1" showErrorMessage="1" sqref="D55:D57" xr:uid="{28873473-37E3-4A39-BF70-7AFA2345A69B}">
      <formula1>$D$50:$D$51</formula1>
    </dataValidation>
    <dataValidation type="list" allowBlank="1" showInputMessage="1" showErrorMessage="1" sqref="G28:G41" xr:uid="{645A930E-FA2E-4E12-A623-2EA09E0B7A96}">
      <formula1>$P$32:$P$33</formula1>
    </dataValidation>
  </dataValidation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4C8381-8AFC-497C-B591-CF731BDB03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I27:I41</xm:sqref>
        </x14:conditionalFormatting>
      </x14:conditionalFormattings>
    </ext>
  </extLst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6F52-F312-414D-A883-752A48A1212F}">
  <dimension ref="B5:L24"/>
  <sheetViews>
    <sheetView workbookViewId="0"/>
  </sheetViews>
  <sheetFormatPr defaultRowHeight="14.5" x14ac:dyDescent="0.35"/>
  <cols>
    <col min="1" max="2" width="8.7265625" customWidth="1"/>
    <col min="3" max="3" width="11.1796875" bestFit="1" customWidth="1"/>
    <col min="4" max="4" width="15.36328125" customWidth="1"/>
    <col min="5" max="5" width="16" bestFit="1" customWidth="1"/>
    <col min="6" max="6" width="14.08984375" bestFit="1" customWidth="1"/>
    <col min="7" max="7" width="9.26953125" customWidth="1"/>
    <col min="8" max="8" width="15.6328125" customWidth="1"/>
    <col min="9" max="9" width="6" bestFit="1" customWidth="1"/>
    <col min="10" max="10" width="17.7265625" bestFit="1" customWidth="1"/>
    <col min="11" max="11" width="13.7265625" bestFit="1" customWidth="1"/>
    <col min="12" max="12" width="8.7265625" customWidth="1"/>
  </cols>
  <sheetData>
    <row r="5" spans="2:12" x14ac:dyDescent="0.35">
      <c r="C5" s="24"/>
      <c r="D5" s="24"/>
      <c r="E5" s="24"/>
      <c r="F5" s="24"/>
      <c r="G5" s="24"/>
      <c r="H5" s="24"/>
      <c r="I5" s="24"/>
      <c r="J5" s="24"/>
    </row>
    <row r="6" spans="2:12" x14ac:dyDescent="0.35">
      <c r="C6" s="24"/>
      <c r="D6" s="25" t="s">
        <v>5</v>
      </c>
      <c r="E6" s="24"/>
      <c r="F6" s="25" t="s">
        <v>6</v>
      </c>
      <c r="G6" s="24"/>
      <c r="H6" s="25" t="s">
        <v>7</v>
      </c>
      <c r="I6" s="24"/>
      <c r="J6" s="25" t="s">
        <v>8</v>
      </c>
    </row>
    <row r="7" spans="2:12" x14ac:dyDescent="0.35">
      <c r="C7" s="24"/>
      <c r="D7" s="27">
        <f>COUNTA(D13:D1259)</f>
        <v>12</v>
      </c>
      <c r="E7" s="24"/>
      <c r="F7" s="28">
        <f>SUM(I13:I804)</f>
        <v>3891</v>
      </c>
      <c r="G7" s="24"/>
      <c r="H7" s="28">
        <f>SUM(J13:J887)</f>
        <v>16</v>
      </c>
      <c r="I7" s="24"/>
      <c r="J7" s="29">
        <f>SUM(F13:F995)</f>
        <v>78</v>
      </c>
    </row>
    <row r="8" spans="2:12" x14ac:dyDescent="0.35">
      <c r="C8" s="24"/>
      <c r="D8" s="27"/>
      <c r="E8" s="24"/>
      <c r="F8" s="28"/>
      <c r="G8" s="24"/>
      <c r="H8" s="28"/>
      <c r="I8" s="24"/>
      <c r="J8" s="29"/>
    </row>
    <row r="9" spans="2:12" x14ac:dyDescent="0.35">
      <c r="C9" s="24"/>
      <c r="D9" s="27"/>
      <c r="E9" s="24"/>
      <c r="F9" s="28"/>
      <c r="G9" s="24"/>
      <c r="H9" s="28"/>
      <c r="I9" s="24"/>
      <c r="J9" s="29"/>
    </row>
    <row r="10" spans="2:12" x14ac:dyDescent="0.35">
      <c r="B10" s="24"/>
    </row>
    <row r="11" spans="2:12" x14ac:dyDescent="0.35">
      <c r="B11" s="24"/>
      <c r="C11" s="24" t="s">
        <v>17</v>
      </c>
      <c r="D11" s="24" t="s">
        <v>18</v>
      </c>
      <c r="E11" s="24">
        <v>12</v>
      </c>
      <c r="F11" s="24">
        <v>7</v>
      </c>
      <c r="G11" s="26">
        <v>75</v>
      </c>
      <c r="H11" s="26">
        <v>500</v>
      </c>
      <c r="I11" s="26">
        <f t="shared" ref="I11:I24" si="0">(E11*G11)-H11</f>
        <v>400</v>
      </c>
      <c r="J11" s="24">
        <f t="shared" ref="J11:J24" si="1">E11-F11</f>
        <v>5</v>
      </c>
      <c r="K11" s="24" t="str">
        <f t="shared" ref="K11:K24" si="2">IF(J11&gt;0,"Stay Checked in","Check Out")</f>
        <v>Stay Checked in</v>
      </c>
      <c r="L11" s="24"/>
    </row>
    <row r="12" spans="2:12" x14ac:dyDescent="0.35">
      <c r="B12" s="24"/>
      <c r="C12" s="24" t="s">
        <v>19</v>
      </c>
      <c r="D12" s="24" t="s">
        <v>20</v>
      </c>
      <c r="E12" s="24">
        <v>3</v>
      </c>
      <c r="F12" s="24">
        <v>4</v>
      </c>
      <c r="G12" s="26">
        <v>75</v>
      </c>
      <c r="H12" s="26">
        <v>150</v>
      </c>
      <c r="I12" s="26">
        <f t="shared" si="0"/>
        <v>75</v>
      </c>
      <c r="J12" s="24">
        <f t="shared" si="1"/>
        <v>-1</v>
      </c>
      <c r="K12" s="24" t="str">
        <f t="shared" si="2"/>
        <v>Check Out</v>
      </c>
      <c r="L12" s="24"/>
    </row>
    <row r="13" spans="2:12" x14ac:dyDescent="0.35">
      <c r="B13" s="24"/>
      <c r="C13" s="24" t="s">
        <v>21</v>
      </c>
      <c r="D13" s="24" t="s">
        <v>22</v>
      </c>
      <c r="E13" s="24">
        <v>7</v>
      </c>
      <c r="F13" s="24">
        <v>5</v>
      </c>
      <c r="G13" s="26">
        <v>50</v>
      </c>
      <c r="H13" s="26">
        <v>125</v>
      </c>
      <c r="I13" s="26">
        <f t="shared" si="0"/>
        <v>225</v>
      </c>
      <c r="J13" s="24">
        <f t="shared" si="1"/>
        <v>2</v>
      </c>
      <c r="K13" s="24" t="str">
        <f t="shared" si="2"/>
        <v>Stay Checked in</v>
      </c>
      <c r="L13" s="24"/>
    </row>
    <row r="14" spans="2:12" x14ac:dyDescent="0.35">
      <c r="B14" s="24"/>
      <c r="C14" s="24" t="s">
        <v>23</v>
      </c>
      <c r="D14" s="24" t="s">
        <v>24</v>
      </c>
      <c r="E14" s="24">
        <v>8</v>
      </c>
      <c r="F14" s="24">
        <v>3</v>
      </c>
      <c r="G14" s="26">
        <v>75</v>
      </c>
      <c r="H14" s="26">
        <v>85</v>
      </c>
      <c r="I14" s="26">
        <f t="shared" si="0"/>
        <v>515</v>
      </c>
      <c r="J14" s="24">
        <f t="shared" si="1"/>
        <v>5</v>
      </c>
      <c r="K14" s="24" t="str">
        <f t="shared" si="2"/>
        <v>Stay Checked in</v>
      </c>
      <c r="L14" s="24"/>
    </row>
    <row r="15" spans="2:12" x14ac:dyDescent="0.35">
      <c r="B15" s="24"/>
      <c r="C15" s="24" t="s">
        <v>25</v>
      </c>
      <c r="D15" s="24" t="s">
        <v>26</v>
      </c>
      <c r="E15" s="24">
        <v>3</v>
      </c>
      <c r="F15" s="24">
        <v>5</v>
      </c>
      <c r="G15" s="26">
        <v>50</v>
      </c>
      <c r="H15" s="26">
        <v>100</v>
      </c>
      <c r="I15" s="26">
        <f t="shared" si="0"/>
        <v>50</v>
      </c>
      <c r="J15" s="24">
        <f t="shared" si="1"/>
        <v>-2</v>
      </c>
      <c r="K15" s="24" t="str">
        <f t="shared" si="2"/>
        <v>Check Out</v>
      </c>
      <c r="L15" s="24"/>
    </row>
    <row r="16" spans="2:12" x14ac:dyDescent="0.35">
      <c r="B16" s="24"/>
      <c r="C16" s="24" t="s">
        <v>28</v>
      </c>
      <c r="D16" s="24" t="s">
        <v>29</v>
      </c>
      <c r="E16" s="24">
        <v>10</v>
      </c>
      <c r="F16" s="24">
        <v>7</v>
      </c>
      <c r="G16" s="26">
        <v>50</v>
      </c>
      <c r="H16" s="26">
        <v>300</v>
      </c>
      <c r="I16" s="26">
        <f t="shared" si="0"/>
        <v>200</v>
      </c>
      <c r="J16" s="24">
        <f t="shared" si="1"/>
        <v>3</v>
      </c>
      <c r="K16" s="24" t="str">
        <f t="shared" si="2"/>
        <v>Stay Checked in</v>
      </c>
      <c r="L16" s="24"/>
    </row>
    <row r="17" spans="2:12" x14ac:dyDescent="0.35">
      <c r="B17" s="24"/>
      <c r="C17" s="24" t="s">
        <v>31</v>
      </c>
      <c r="D17" s="24" t="s">
        <v>32</v>
      </c>
      <c r="E17" s="24">
        <v>6</v>
      </c>
      <c r="F17" s="24">
        <v>4</v>
      </c>
      <c r="G17" s="26">
        <v>50</v>
      </c>
      <c r="H17" s="26">
        <v>150</v>
      </c>
      <c r="I17" s="26">
        <f t="shared" si="0"/>
        <v>150</v>
      </c>
      <c r="J17" s="24">
        <f t="shared" si="1"/>
        <v>2</v>
      </c>
      <c r="K17" s="24" t="str">
        <f t="shared" si="2"/>
        <v>Stay Checked in</v>
      </c>
      <c r="L17" s="24"/>
    </row>
    <row r="18" spans="2:12" x14ac:dyDescent="0.35">
      <c r="B18" s="24"/>
      <c r="C18" s="24" t="s">
        <v>33</v>
      </c>
      <c r="D18" s="24" t="s">
        <v>34</v>
      </c>
      <c r="E18" s="24">
        <v>3</v>
      </c>
      <c r="F18" s="24">
        <v>9</v>
      </c>
      <c r="G18" s="26">
        <v>50</v>
      </c>
      <c r="H18" s="26">
        <v>75</v>
      </c>
      <c r="I18" s="26">
        <f t="shared" si="0"/>
        <v>75</v>
      </c>
      <c r="J18" s="24">
        <f t="shared" si="1"/>
        <v>-6</v>
      </c>
      <c r="K18" s="24" t="str">
        <f t="shared" si="2"/>
        <v>Check Out</v>
      </c>
      <c r="L18" s="24"/>
    </row>
    <row r="19" spans="2:12" x14ac:dyDescent="0.35">
      <c r="B19" s="24"/>
      <c r="C19" s="24" t="s">
        <v>35</v>
      </c>
      <c r="D19" s="24" t="s">
        <v>36</v>
      </c>
      <c r="E19" s="24">
        <v>6</v>
      </c>
      <c r="F19" s="24">
        <v>3</v>
      </c>
      <c r="G19" s="26">
        <v>75</v>
      </c>
      <c r="H19" s="26">
        <v>123</v>
      </c>
      <c r="I19" s="26">
        <f t="shared" si="0"/>
        <v>327</v>
      </c>
      <c r="J19" s="24">
        <f t="shared" si="1"/>
        <v>3</v>
      </c>
      <c r="K19" s="24" t="str">
        <f t="shared" si="2"/>
        <v>Stay Checked in</v>
      </c>
      <c r="L19" s="24"/>
    </row>
    <row r="20" spans="2:12" x14ac:dyDescent="0.35">
      <c r="B20" s="24"/>
      <c r="C20" s="24" t="s">
        <v>37</v>
      </c>
      <c r="D20" s="24" t="s">
        <v>38</v>
      </c>
      <c r="E20" s="24">
        <v>9</v>
      </c>
      <c r="F20" s="24">
        <v>8</v>
      </c>
      <c r="G20" s="26">
        <v>75</v>
      </c>
      <c r="H20" s="26">
        <v>120</v>
      </c>
      <c r="I20" s="26">
        <f t="shared" si="0"/>
        <v>555</v>
      </c>
      <c r="J20" s="24">
        <f t="shared" si="1"/>
        <v>1</v>
      </c>
      <c r="K20" s="24" t="str">
        <f t="shared" si="2"/>
        <v>Stay Checked in</v>
      </c>
      <c r="L20" s="24"/>
    </row>
    <row r="21" spans="2:12" x14ac:dyDescent="0.35">
      <c r="B21" s="24"/>
      <c r="C21" s="24" t="s">
        <v>39</v>
      </c>
      <c r="D21" s="24" t="s">
        <v>40</v>
      </c>
      <c r="E21" s="24">
        <v>7</v>
      </c>
      <c r="F21" s="24">
        <v>5</v>
      </c>
      <c r="G21" s="26">
        <v>50</v>
      </c>
      <c r="H21" s="26">
        <v>65</v>
      </c>
      <c r="I21" s="26">
        <f t="shared" si="0"/>
        <v>285</v>
      </c>
      <c r="J21" s="24">
        <f t="shared" si="1"/>
        <v>2</v>
      </c>
      <c r="K21" s="24" t="str">
        <f t="shared" si="2"/>
        <v>Stay Checked in</v>
      </c>
      <c r="L21" s="24"/>
    </row>
    <row r="22" spans="2:12" x14ac:dyDescent="0.35">
      <c r="B22" s="24"/>
      <c r="C22" s="24" t="s">
        <v>41</v>
      </c>
      <c r="D22" s="24" t="s">
        <v>42</v>
      </c>
      <c r="E22" s="24">
        <v>5</v>
      </c>
      <c r="F22" s="24">
        <v>3</v>
      </c>
      <c r="G22" s="26">
        <v>75</v>
      </c>
      <c r="H22" s="26">
        <v>34</v>
      </c>
      <c r="I22" s="26">
        <f t="shared" si="0"/>
        <v>341</v>
      </c>
      <c r="J22" s="24">
        <f t="shared" si="1"/>
        <v>2</v>
      </c>
      <c r="K22" s="24" t="str">
        <f t="shared" si="2"/>
        <v>Stay Checked in</v>
      </c>
      <c r="L22" s="24"/>
    </row>
    <row r="23" spans="2:12" x14ac:dyDescent="0.35">
      <c r="B23" s="24"/>
      <c r="C23" s="24" t="s">
        <v>43</v>
      </c>
      <c r="D23" s="24" t="s">
        <v>44</v>
      </c>
      <c r="E23" s="24">
        <v>23</v>
      </c>
      <c r="F23" s="24">
        <v>19</v>
      </c>
      <c r="G23" s="26">
        <v>50</v>
      </c>
      <c r="H23" s="26">
        <v>234</v>
      </c>
      <c r="I23" s="26">
        <f t="shared" si="0"/>
        <v>916</v>
      </c>
      <c r="J23" s="24">
        <f t="shared" si="1"/>
        <v>4</v>
      </c>
      <c r="K23" s="24" t="str">
        <f t="shared" si="2"/>
        <v>Stay Checked in</v>
      </c>
      <c r="L23" s="24"/>
    </row>
    <row r="24" spans="2:12" x14ac:dyDescent="0.35">
      <c r="B24" s="24"/>
      <c r="C24" s="24" t="s">
        <v>45</v>
      </c>
      <c r="D24" s="24" t="s">
        <v>46</v>
      </c>
      <c r="E24" s="24">
        <v>7</v>
      </c>
      <c r="F24" s="24">
        <v>7</v>
      </c>
      <c r="G24" s="26">
        <v>50</v>
      </c>
      <c r="H24" s="26">
        <v>98</v>
      </c>
      <c r="I24" s="26">
        <f t="shared" si="0"/>
        <v>252</v>
      </c>
      <c r="J24" s="24">
        <f t="shared" si="1"/>
        <v>0</v>
      </c>
      <c r="K24" s="24" t="str">
        <f t="shared" si="2"/>
        <v>Check Out</v>
      </c>
      <c r="L24" s="24"/>
    </row>
  </sheetData>
  <mergeCells count="4">
    <mergeCell ref="D7:D9"/>
    <mergeCell ref="F7:F9"/>
    <mergeCell ref="H7:H9"/>
    <mergeCell ref="J7:J9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Abdulsalam (5293425)</dc:creator>
  <cp:lastModifiedBy>Kenny Abdulsalam (5293425)</cp:lastModifiedBy>
  <dcterms:created xsi:type="dcterms:W3CDTF">2026-05-29T19:42:42Z</dcterms:created>
  <dcterms:modified xsi:type="dcterms:W3CDTF">2026-06-02T20:50:22Z</dcterms:modified>
</cp:coreProperties>
</file>